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GUBKA\LAB4\"/>
    </mc:Choice>
  </mc:AlternateContent>
  <xr:revisionPtr revIDLastSave="0" documentId="8_{6526FAA7-4436-4A76-8352-0822C0460101}" xr6:coauthVersionLast="47" xr6:coauthVersionMax="47" xr10:uidLastSave="{00000000-0000-0000-0000-000000000000}"/>
  <bookViews>
    <workbookView xWindow="21000" yWindow="4995" windowWidth="21600" windowHeight="11295" xr2:uid="{00000000-000D-0000-FFFF-FFFF00000000}"/>
  </bookViews>
  <sheets>
    <sheet name="Sheet1" sheetId="1" r:id="rId1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8" i="1" l="1"/>
  <c r="N24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" i="1"/>
  <c r="C14" i="1"/>
  <c r="R29" i="1" l="1"/>
  <c r="D24" i="1" l="1"/>
  <c r="D25" i="1" s="1"/>
  <c r="L21" i="1"/>
  <c r="L22" i="1"/>
  <c r="L17" i="1"/>
  <c r="L18" i="1"/>
  <c r="L19" i="1"/>
  <c r="L20" i="1" s="1"/>
  <c r="L4" i="1"/>
  <c r="L5" i="1"/>
  <c r="L6" i="1"/>
  <c r="L7" i="1"/>
  <c r="L8" i="1" s="1"/>
  <c r="L9" i="1" s="1"/>
  <c r="L10" i="1" s="1"/>
  <c r="L11" i="1" s="1"/>
  <c r="L12" i="1" s="1"/>
  <c r="L13" i="1" s="1"/>
  <c r="L14" i="1" s="1"/>
  <c r="L15" i="1" s="1"/>
  <c r="L16" i="1" s="1"/>
  <c r="L3" i="1"/>
</calcChain>
</file>

<file path=xl/sharedStrings.xml><?xml version="1.0" encoding="utf-8"?>
<sst xmlns="http://schemas.openxmlformats.org/spreadsheetml/2006/main" count="15" uniqueCount="9">
  <si>
    <t>x</t>
  </si>
  <si>
    <t>y</t>
  </si>
  <si>
    <t>точное решение</t>
  </si>
  <si>
    <t>табличная функция</t>
  </si>
  <si>
    <t>h</t>
  </si>
  <si>
    <t>аналитическая функция</t>
  </si>
  <si>
    <t>Решение:</t>
  </si>
  <si>
    <t>Абсолютная погрешность</t>
  </si>
  <si>
    <t>Относительная погрешность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</si>
</sst>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charset val="204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/>
    <xf numFmtId="0" fontId="0" fillId="4" borderId="1" xfId="0" applyFill="1" applyBorder="1"/>
    <xf numFmtId="0" fontId="0" fillId="5" borderId="1" xfId="0" applyFill="1" applyBorder="1"/>
    <xf numFmtId="0" fontId="0" fillId="5" borderId="0" xfId="0" applyFill="1"/>
    <xf numFmtId="0" fontId="0" fillId="6" borderId="0" xfId="0" applyFill="1" applyBorder="1" applyAlignment="1"/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Sheet1!$B$1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marker>
            <c:symbol val="circle"/>
            <c:size val="5"/>
            <c:spPr>
              <a:gradFill flip="none"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 w="38100" cap="flat" cmpd="sng" algn="ctr">
                <a:solidFill>
                  <a:schemeClr val="accent4"/>
                </a:solidFill>
                <a:prstDash val="solid"/>
                <a:miter lim="800000"/>
              </a:ln>
              <a:effectLst/>
            </c:spPr>
          </c:marker>
          <c:val>
            <c:numRef>
              <c:f>Sheet1!$B$2:$B$12</c:f>
              <c:numCache>
                <c:formatCode>General</c:formatCode>
                <c:ptCount val="11"/>
                <c:pt idx="0">
                  <c:v>0.5</c:v>
                </c:pt>
                <c:pt idx="1">
                  <c:v>0.51</c:v>
                </c:pt>
                <c:pt idx="2">
                  <c:v>0.54</c:v>
                </c:pt>
                <c:pt idx="3">
                  <c:v>0.59</c:v>
                </c:pt>
                <c:pt idx="4">
                  <c:v>0.67</c:v>
                </c:pt>
                <c:pt idx="5">
                  <c:v>0.8</c:v>
                </c:pt>
                <c:pt idx="6">
                  <c:v>0.98</c:v>
                </c:pt>
                <c:pt idx="7">
                  <c:v>1.24</c:v>
                </c:pt>
                <c:pt idx="8">
                  <c:v>1.55</c:v>
                </c:pt>
                <c:pt idx="9">
                  <c:v>1.86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1A-4F03-86CD-094179642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103664"/>
        <c:axId val="20461040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Sheet1!$A$1</c15:sqref>
                        </c15:formulaRef>
                      </c:ext>
                    </c:extLst>
                    <c:strCache>
                      <c:ptCount val="1"/>
                      <c:pt idx="0">
                        <c:v>x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Sheet1!$A$2:$A$12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0.31</c:v>
                      </c:pt>
                      <c:pt idx="2">
                        <c:v>0.63</c:v>
                      </c:pt>
                      <c:pt idx="3">
                        <c:v>0.94</c:v>
                      </c:pt>
                      <c:pt idx="4">
                        <c:v>1.26</c:v>
                      </c:pt>
                      <c:pt idx="5">
                        <c:v>1.57</c:v>
                      </c:pt>
                      <c:pt idx="6">
                        <c:v>1.88</c:v>
                      </c:pt>
                      <c:pt idx="7">
                        <c:v>2.2000000000000002</c:v>
                      </c:pt>
                      <c:pt idx="8">
                        <c:v>2.5099999999999998</c:v>
                      </c:pt>
                      <c:pt idx="9">
                        <c:v>2.83</c:v>
                      </c:pt>
                      <c:pt idx="10">
                        <c:v>3.14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0C1A-4F03-86CD-094179642FE6}"/>
                  </c:ext>
                </c:extLst>
              </c15:ser>
            </c15:filteredLineSeries>
          </c:ext>
        </c:extLst>
      </c:lineChart>
      <c:catAx>
        <c:axId val="204610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46104080"/>
        <c:crosses val="autoZero"/>
        <c:auto val="1"/>
        <c:lblAlgn val="ctr"/>
        <c:lblOffset val="100"/>
        <c:noMultiLvlLbl val="0"/>
      </c:catAx>
      <c:valAx>
        <c:axId val="204610408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4610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Sheet1!$M$1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</a:ln>
              <a:effectLst/>
            </c:spPr>
          </c:marker>
          <c:cat>
            <c:numRef>
              <c:f>Sheet1!$L$2:$L$22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Sheet1!$M$2:$M$22</c:f>
              <c:numCache>
                <c:formatCode>General</c:formatCode>
                <c:ptCount val="21"/>
                <c:pt idx="0">
                  <c:v>0</c:v>
                </c:pt>
                <c:pt idx="1">
                  <c:v>1.2492192379762648E-2</c:v>
                </c:pt>
                <c:pt idx="2">
                  <c:v>2.4937655860349128E-2</c:v>
                </c:pt>
                <c:pt idx="3">
                  <c:v>3.7290242386575516E-2</c:v>
                </c:pt>
                <c:pt idx="4">
                  <c:v>4.9504950495049507E-2</c:v>
                </c:pt>
                <c:pt idx="5">
                  <c:v>6.1538461538461542E-2</c:v>
                </c:pt>
                <c:pt idx="6">
                  <c:v>7.3349633251833746E-2</c:v>
                </c:pt>
                <c:pt idx="7">
                  <c:v>8.4899939357186177E-2</c:v>
                </c:pt>
                <c:pt idx="8">
                  <c:v>9.6153846153846145E-2</c:v>
                </c:pt>
                <c:pt idx="9">
                  <c:v>0.10707911957168352</c:v>
                </c:pt>
                <c:pt idx="10">
                  <c:v>0.1176470588235294</c:v>
                </c:pt>
                <c:pt idx="11">
                  <c:v>0.12783265543288783</c:v>
                </c:pt>
                <c:pt idx="12">
                  <c:v>0.13761467889908255</c:v>
                </c:pt>
                <c:pt idx="13">
                  <c:v>0.14697569248162803</c:v>
                </c:pt>
                <c:pt idx="14">
                  <c:v>0.15590200445434299</c:v>
                </c:pt>
                <c:pt idx="15">
                  <c:v>0.16438356164383564</c:v>
                </c:pt>
                <c:pt idx="16">
                  <c:v>0.17241379310344829</c:v>
                </c:pt>
                <c:pt idx="17">
                  <c:v>0.17998941238750665</c:v>
                </c:pt>
                <c:pt idx="18">
                  <c:v>0.18711018711018715</c:v>
                </c:pt>
                <c:pt idx="19">
                  <c:v>0.19377868434472212</c:v>
                </c:pt>
                <c:pt idx="20">
                  <c:v>0.20000000000000004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BC-4326-A3CC-5F577A8FE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731312"/>
        <c:axId val="19097350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Sheet1!$L$1</c15:sqref>
                        </c15:formulaRef>
                      </c:ext>
                    </c:extLst>
                    <c:strCache>
                      <c:ptCount val="1"/>
                      <c:pt idx="0">
                        <c:v>x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Sheet1!$L$2:$L$22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0.15000000000000002</c:v>
                      </c:pt>
                      <c:pt idx="4">
                        <c:v>0.2</c:v>
                      </c:pt>
                      <c:pt idx="5">
                        <c:v>0.25</c:v>
                      </c:pt>
                      <c:pt idx="6">
                        <c:v>0.3</c:v>
                      </c:pt>
                      <c:pt idx="7">
                        <c:v>0.35</c:v>
                      </c:pt>
                      <c:pt idx="8">
                        <c:v>0.39999999999999997</c:v>
                      </c:pt>
                      <c:pt idx="9">
                        <c:v>0.44999999999999996</c:v>
                      </c:pt>
                      <c:pt idx="10">
                        <c:v>0.49999999999999994</c:v>
                      </c:pt>
                      <c:pt idx="11">
                        <c:v>0.54999999999999993</c:v>
                      </c:pt>
                      <c:pt idx="12">
                        <c:v>0.6</c:v>
                      </c:pt>
                      <c:pt idx="13">
                        <c:v>0.65</c:v>
                      </c:pt>
                      <c:pt idx="14">
                        <c:v>0.70000000000000007</c:v>
                      </c:pt>
                      <c:pt idx="15">
                        <c:v>0.75000000000000011</c:v>
                      </c:pt>
                      <c:pt idx="16">
                        <c:v>0.80000000000000016</c:v>
                      </c:pt>
                      <c:pt idx="17">
                        <c:v>0.8500000000000002</c:v>
                      </c:pt>
                      <c:pt idx="18">
                        <c:v>0.90000000000000024</c:v>
                      </c:pt>
                      <c:pt idx="19">
                        <c:v>0.95000000000000029</c:v>
                      </c:pt>
                      <c:pt idx="20">
                        <c:v>1.0000000000000002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Sheet1!$L$2:$L$22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0.15000000000000002</c:v>
                      </c:pt>
                      <c:pt idx="4">
                        <c:v>0.2</c:v>
                      </c:pt>
                      <c:pt idx="5">
                        <c:v>0.25</c:v>
                      </c:pt>
                      <c:pt idx="6">
                        <c:v>0.3</c:v>
                      </c:pt>
                      <c:pt idx="7">
                        <c:v>0.35</c:v>
                      </c:pt>
                      <c:pt idx="8">
                        <c:v>0.39999999999999997</c:v>
                      </c:pt>
                      <c:pt idx="9">
                        <c:v>0.44999999999999996</c:v>
                      </c:pt>
                      <c:pt idx="10">
                        <c:v>0.49999999999999994</c:v>
                      </c:pt>
                      <c:pt idx="11">
                        <c:v>0.54999999999999993</c:v>
                      </c:pt>
                      <c:pt idx="12">
                        <c:v>0.6</c:v>
                      </c:pt>
                      <c:pt idx="13">
                        <c:v>0.65</c:v>
                      </c:pt>
                      <c:pt idx="14">
                        <c:v>0.70000000000000007</c:v>
                      </c:pt>
                      <c:pt idx="15">
                        <c:v>0.75000000000000011</c:v>
                      </c:pt>
                      <c:pt idx="16">
                        <c:v>0.80000000000000016</c:v>
                      </c:pt>
                      <c:pt idx="17">
                        <c:v>0.8500000000000002</c:v>
                      </c:pt>
                      <c:pt idx="18">
                        <c:v>0.90000000000000024</c:v>
                      </c:pt>
                      <c:pt idx="19">
                        <c:v>0.95000000000000029</c:v>
                      </c:pt>
                      <c:pt idx="20">
                        <c:v>1.0000000000000002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BBC-4326-A3CC-5F577A8FEBC0}"/>
                  </c:ext>
                </c:extLst>
              </c15:ser>
            </c15:filteredLineSeries>
          </c:ext>
        </c:extLst>
      </c:lineChart>
      <c:catAx>
        <c:axId val="190973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09735056"/>
        <c:crosses val="autoZero"/>
        <c:auto val="1"/>
        <c:lblAlgn val="ctr"/>
        <c:lblOffset val="100"/>
        <c:noMultiLvlLbl val="0"/>
      </c:catAx>
      <c:valAx>
        <c:axId val="190973505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0973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0</xdr:row>
      <xdr:rowOff>41910</xdr:rowOff>
    </xdr:from>
    <xdr:to>
      <xdr:col>9</xdr:col>
      <xdr:colOff>327660</xdr:colOff>
      <xdr:row>12</xdr:row>
      <xdr:rowOff>68580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487680</xdr:colOff>
      <xdr:row>0</xdr:row>
      <xdr:rowOff>179070</xdr:rowOff>
    </xdr:from>
    <xdr:to>
      <xdr:col>22</xdr:col>
      <xdr:colOff>182880</xdr:colOff>
      <xdr:row>15</xdr:row>
      <xdr:rowOff>179070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18</xdr:row>
          <xdr:rowOff>57150</xdr:rowOff>
        </xdr:from>
        <xdr:to>
          <xdr:col>2</xdr:col>
          <xdr:colOff>142875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решить интеграл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247650</xdr:colOff>
          <xdr:row>23</xdr:row>
          <xdr:rowOff>57150</xdr:rowOff>
        </xdr:from>
        <xdr:to>
          <xdr:col>16</xdr:col>
          <xdr:colOff>200025</xdr:colOff>
          <xdr:row>25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решить интеграл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9"/>
  <sheetViews>
    <sheetView tabSelected="1" zoomScale="107" zoomScaleNormal="107" workbookViewId="0">
      <selection activeCell="U31" sqref="U31"/>
    </sheetView>
  </sheetViews>
  <sheetFormatPr defaultRowHeight="15" x14ac:dyDescent="0.25"/>
  <sheetData>
    <row r="1" spans="1:14" x14ac:dyDescent="0.25">
      <c r="A1" s="4" t="s">
        <v>0</v>
      </c>
      <c r="B1" s="4" t="s">
        <v>1</v>
      </c>
      <c r="L1" s="7" t="s">
        <v>0</v>
      </c>
      <c r="M1" s="7" t="s">
        <v>1</v>
      </c>
      <c r="N1" s="6" t="s">
        <v>4</v>
      </c>
    </row>
    <row r="2" spans="1:14" x14ac:dyDescent="0.25">
      <c r="A2" s="3">
        <v>0</v>
      </c>
      <c r="B2" s="3">
        <v>0.5</v>
      </c>
      <c r="L2" s="6">
        <v>0</v>
      </c>
      <c r="M2" s="6">
        <f>L2/(4+L2*L2)</f>
        <v>0</v>
      </c>
      <c r="N2" s="6">
        <v>0.05</v>
      </c>
    </row>
    <row r="3" spans="1:14" x14ac:dyDescent="0.25">
      <c r="A3" s="3">
        <v>0.31</v>
      </c>
      <c r="B3" s="3">
        <v>0.51</v>
      </c>
      <c r="L3" s="6">
        <f>L2+N$2</f>
        <v>0.05</v>
      </c>
      <c r="M3" s="6">
        <f t="shared" ref="M3:M22" si="0">L3/(4+L3*L3)</f>
        <v>1.2492192379762648E-2</v>
      </c>
    </row>
    <row r="4" spans="1:14" x14ac:dyDescent="0.25">
      <c r="A4" s="3">
        <v>0.63</v>
      </c>
      <c r="B4" s="3">
        <v>0.54</v>
      </c>
      <c r="L4" s="6">
        <f t="shared" ref="L4:L22" si="1">L3+N$2</f>
        <v>0.1</v>
      </c>
      <c r="M4" s="6">
        <f t="shared" si="0"/>
        <v>2.4937655860349128E-2</v>
      </c>
    </row>
    <row r="5" spans="1:14" x14ac:dyDescent="0.25">
      <c r="A5" s="3">
        <v>0.94</v>
      </c>
      <c r="B5" s="3">
        <v>0.59</v>
      </c>
      <c r="L5" s="6">
        <f t="shared" si="1"/>
        <v>0.15000000000000002</v>
      </c>
      <c r="M5" s="6">
        <f t="shared" si="0"/>
        <v>3.7290242386575516E-2</v>
      </c>
    </row>
    <row r="6" spans="1:14" x14ac:dyDescent="0.25">
      <c r="A6" s="3">
        <v>1.26</v>
      </c>
      <c r="B6" s="3">
        <v>0.67</v>
      </c>
      <c r="L6" s="6">
        <f t="shared" si="1"/>
        <v>0.2</v>
      </c>
      <c r="M6" s="6">
        <f t="shared" si="0"/>
        <v>4.9504950495049507E-2</v>
      </c>
    </row>
    <row r="7" spans="1:14" x14ac:dyDescent="0.25">
      <c r="A7" s="3">
        <v>1.57</v>
      </c>
      <c r="B7" s="3">
        <v>0.8</v>
      </c>
      <c r="L7" s="6">
        <f t="shared" si="1"/>
        <v>0.25</v>
      </c>
      <c r="M7" s="6">
        <f t="shared" si="0"/>
        <v>6.1538461538461542E-2</v>
      </c>
    </row>
    <row r="8" spans="1:14" x14ac:dyDescent="0.25">
      <c r="A8" s="3">
        <v>1.88</v>
      </c>
      <c r="B8" s="3">
        <v>0.98</v>
      </c>
      <c r="L8" s="6">
        <f t="shared" si="1"/>
        <v>0.3</v>
      </c>
      <c r="M8" s="6">
        <f t="shared" si="0"/>
        <v>7.3349633251833746E-2</v>
      </c>
    </row>
    <row r="9" spans="1:14" x14ac:dyDescent="0.25">
      <c r="A9" s="3">
        <v>2.2000000000000002</v>
      </c>
      <c r="B9" s="3">
        <v>1.24</v>
      </c>
      <c r="L9" s="6">
        <f t="shared" si="1"/>
        <v>0.35</v>
      </c>
      <c r="M9" s="6">
        <f t="shared" si="0"/>
        <v>8.4899939357186177E-2</v>
      </c>
    </row>
    <row r="10" spans="1:14" x14ac:dyDescent="0.25">
      <c r="A10" s="3">
        <v>2.5099999999999998</v>
      </c>
      <c r="B10" s="3">
        <v>1.55</v>
      </c>
      <c r="L10" s="6">
        <f t="shared" si="1"/>
        <v>0.39999999999999997</v>
      </c>
      <c r="M10" s="6">
        <f t="shared" si="0"/>
        <v>9.6153846153846145E-2</v>
      </c>
    </row>
    <row r="11" spans="1:14" x14ac:dyDescent="0.25">
      <c r="A11" s="3">
        <v>2.83</v>
      </c>
      <c r="B11" s="3">
        <v>1.86</v>
      </c>
      <c r="L11" s="6">
        <f t="shared" si="1"/>
        <v>0.44999999999999996</v>
      </c>
      <c r="M11" s="6">
        <f t="shared" si="0"/>
        <v>0.10707911957168352</v>
      </c>
    </row>
    <row r="12" spans="1:14" x14ac:dyDescent="0.25">
      <c r="A12" s="3">
        <v>3.14</v>
      </c>
      <c r="B12" s="3">
        <v>2</v>
      </c>
      <c r="L12" s="6">
        <f t="shared" si="1"/>
        <v>0.49999999999999994</v>
      </c>
      <c r="M12" s="6">
        <f t="shared" si="0"/>
        <v>0.1176470588235294</v>
      </c>
    </row>
    <row r="13" spans="1:14" x14ac:dyDescent="0.25">
      <c r="L13" s="6">
        <f t="shared" si="1"/>
        <v>0.54999999999999993</v>
      </c>
      <c r="M13" s="6">
        <f t="shared" si="0"/>
        <v>0.12783265543288783</v>
      </c>
    </row>
    <row r="14" spans="1:14" x14ac:dyDescent="0.25">
      <c r="A14" s="1" t="s">
        <v>2</v>
      </c>
      <c r="B14" s="1"/>
      <c r="C14" s="2">
        <f>PI()</f>
        <v>3.1415926535897931</v>
      </c>
      <c r="L14" s="6">
        <f t="shared" si="1"/>
        <v>0.6</v>
      </c>
      <c r="M14" s="6">
        <f t="shared" si="0"/>
        <v>0.13761467889908255</v>
      </c>
    </row>
    <row r="15" spans="1:14" x14ac:dyDescent="0.25">
      <c r="L15" s="6">
        <f t="shared" si="1"/>
        <v>0.65</v>
      </c>
      <c r="M15" s="6">
        <f t="shared" si="0"/>
        <v>0.14697569248162803</v>
      </c>
    </row>
    <row r="16" spans="1:14" x14ac:dyDescent="0.25">
      <c r="C16" s="10" t="s">
        <v>3</v>
      </c>
      <c r="D16" s="11"/>
      <c r="E16" s="11"/>
      <c r="F16" s="11"/>
      <c r="L16" s="6">
        <f t="shared" si="1"/>
        <v>0.70000000000000007</v>
      </c>
      <c r="M16" s="6">
        <f t="shared" si="0"/>
        <v>0.15590200445434299</v>
      </c>
    </row>
    <row r="17" spans="1:20" x14ac:dyDescent="0.25">
      <c r="C17" s="11"/>
      <c r="D17" s="11"/>
      <c r="E17" s="11"/>
      <c r="F17" s="11"/>
      <c r="L17" s="6">
        <f>L16+N$2</f>
        <v>0.75000000000000011</v>
      </c>
      <c r="M17" s="6">
        <f t="shared" si="0"/>
        <v>0.16438356164383564</v>
      </c>
    </row>
    <row r="18" spans="1:20" x14ac:dyDescent="0.25">
      <c r="C18" s="11"/>
      <c r="D18" s="11"/>
      <c r="E18" s="11"/>
      <c r="F18" s="11"/>
      <c r="L18" s="6">
        <f t="shared" si="1"/>
        <v>0.80000000000000016</v>
      </c>
      <c r="M18" s="6">
        <f t="shared" si="0"/>
        <v>0.17241379310344829</v>
      </c>
    </row>
    <row r="19" spans="1:20" x14ac:dyDescent="0.25">
      <c r="L19" s="6">
        <f t="shared" si="1"/>
        <v>0.8500000000000002</v>
      </c>
      <c r="M19" s="6">
        <f t="shared" si="0"/>
        <v>0.17998941238750665</v>
      </c>
    </row>
    <row r="20" spans="1:20" x14ac:dyDescent="0.25">
      <c r="L20" s="6">
        <f t="shared" si="1"/>
        <v>0.90000000000000024</v>
      </c>
      <c r="M20" s="6">
        <f t="shared" si="0"/>
        <v>0.18711018711018715</v>
      </c>
      <c r="Q20" s="12" t="s">
        <v>5</v>
      </c>
      <c r="R20" s="13"/>
      <c r="S20" s="13"/>
      <c r="T20" s="13"/>
    </row>
    <row r="21" spans="1:20" x14ac:dyDescent="0.25">
      <c r="L21" s="6">
        <f>L20+N$2</f>
        <v>0.95000000000000029</v>
      </c>
      <c r="M21" s="6">
        <f t="shared" si="0"/>
        <v>0.19377868434472212</v>
      </c>
      <c r="Q21" s="13"/>
      <c r="R21" s="13"/>
      <c r="S21" s="13"/>
      <c r="T21" s="13"/>
    </row>
    <row r="22" spans="1:20" x14ac:dyDescent="0.25">
      <c r="L22" s="6">
        <f t="shared" si="1"/>
        <v>1.0000000000000002</v>
      </c>
      <c r="M22" s="6">
        <f t="shared" si="0"/>
        <v>0.20000000000000004</v>
      </c>
      <c r="Q22" s="13"/>
      <c r="R22" s="13"/>
      <c r="S22" s="13"/>
      <c r="T22" s="13"/>
    </row>
    <row r="23" spans="1:20" x14ac:dyDescent="0.25">
      <c r="A23" s="1" t="s">
        <v>6</v>
      </c>
      <c r="B23" s="1"/>
      <c r="C23" s="1"/>
      <c r="D23" s="2">
        <v>2.9744666666666668</v>
      </c>
      <c r="Q23" s="13"/>
      <c r="R23" s="13"/>
      <c r="S23" s="13"/>
      <c r="T23" s="13"/>
    </row>
    <row r="24" spans="1:20" x14ac:dyDescent="0.25">
      <c r="A24" s="1" t="s">
        <v>7</v>
      </c>
      <c r="B24" s="1"/>
      <c r="C24" s="1"/>
      <c r="D24" s="2">
        <f>ABS(D23-C14)</f>
        <v>0.1671259869231263</v>
      </c>
      <c r="G24" s="9"/>
      <c r="H24" s="9"/>
      <c r="L24" s="8" t="s">
        <v>2</v>
      </c>
      <c r="M24" s="8"/>
      <c r="N24" s="5">
        <f>0.5*LOG(5/4,10)</f>
        <v>4.8455006504028203E-2</v>
      </c>
    </row>
    <row r="25" spans="1:20" x14ac:dyDescent="0.25">
      <c r="A25" s="1" t="s">
        <v>8</v>
      </c>
      <c r="B25" s="1"/>
      <c r="C25" s="1"/>
      <c r="D25" s="2">
        <f>D24/C14</f>
        <v>5.3197853875854025E-2</v>
      </c>
      <c r="G25" s="9"/>
      <c r="H25" s="9"/>
    </row>
    <row r="26" spans="1:20" x14ac:dyDescent="0.25">
      <c r="G26" s="9"/>
      <c r="H26" s="9"/>
    </row>
    <row r="27" spans="1:20" x14ac:dyDescent="0.25">
      <c r="O27" s="8" t="s">
        <v>6</v>
      </c>
      <c r="P27" s="8"/>
      <c r="Q27" s="8"/>
      <c r="R27" s="5">
        <v>0.11379400091476799</v>
      </c>
    </row>
    <row r="28" spans="1:20" x14ac:dyDescent="0.25">
      <c r="O28" s="8" t="s">
        <v>7</v>
      </c>
      <c r="P28" s="8"/>
      <c r="Q28" s="8"/>
      <c r="R28" s="5">
        <f>ABS(N24-R27)</f>
        <v>6.5338994410739787E-2</v>
      </c>
    </row>
    <row r="29" spans="1:20" x14ac:dyDescent="0.25">
      <c r="O29" s="8" t="s">
        <v>8</v>
      </c>
      <c r="P29" s="8"/>
      <c r="Q29" s="8"/>
      <c r="R29" s="5">
        <f>R28/N24</f>
        <v>1.3484467163430878</v>
      </c>
    </row>
  </sheetData>
  <mergeCells count="2">
    <mergeCell ref="C16:F18"/>
    <mergeCell ref="Q20:T2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0</xdr:col>
                    <xdr:colOff>133350</xdr:colOff>
                    <xdr:row>18</xdr:row>
                    <xdr:rowOff>57150</xdr:rowOff>
                  </from>
                  <to>
                    <xdr:col>2</xdr:col>
                    <xdr:colOff>142875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">
                <anchor moveWithCells="1" sizeWithCells="1">
                  <from>
                    <xdr:col>14</xdr:col>
                    <xdr:colOff>247650</xdr:colOff>
                    <xdr:row>23</xdr:row>
                    <xdr:rowOff>57150</xdr:rowOff>
                  </from>
                  <to>
                    <xdr:col>16</xdr:col>
                    <xdr:colOff>200025</xdr:colOff>
                    <xdr:row>25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Ростислав Мамаев</dc:creator>
  <cp:lastModifiedBy>Ростислав Мамаев</cp:lastModifiedBy>
  <dcterms:created xsi:type="dcterms:W3CDTF">2015-06-05T18:17:20Z</dcterms:created>
  <dcterms:modified xsi:type="dcterms:W3CDTF">2024-05-10T19:46:17Z</dcterms:modified>
</cp:coreProperties>
</file>